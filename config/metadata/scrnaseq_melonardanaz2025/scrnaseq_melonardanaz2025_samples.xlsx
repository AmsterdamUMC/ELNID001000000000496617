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068280\Downloads\"/>
    </mc:Choice>
  </mc:AlternateContent>
  <xr:revisionPtr revIDLastSave="0" documentId="13_ncr:1_{8F652A9F-E702-4976-AD1F-DA9AA9A52A0F}" xr6:coauthVersionLast="47" xr6:coauthVersionMax="47" xr10:uidLastSave="{00000000-0000-0000-0000-000000000000}"/>
  <bookViews>
    <workbookView xWindow="-120" yWindow="-120" windowWidth="22920" windowHeight="13755" xr2:uid="{00000000-000D-0000-FFFF-FFFF00000000}"/>
  </bookViews>
  <sheets>
    <sheet name="Blad1" sheetId="1" r:id="rId1"/>
  </sheets>
  <definedNames>
    <definedName name="_xlnm._FilterDatabase" localSheetId="0" hidden="1">Blad1!$A$1:$O$24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<sst xmlns="http://schemas.openxmlformats.org/spreadsheetml/2006/main" count="222" uniqueCount="62">
  <si>
    <t>Treatment</t>
  </si>
  <si>
    <t>Donor_ID</t>
  </si>
  <si>
    <t>Sample_ID</t>
  </si>
  <si>
    <t>Family_ID</t>
  </si>
  <si>
    <t>Organ</t>
  </si>
  <si>
    <t>SampleAlias</t>
  </si>
  <si>
    <t>Response</t>
  </si>
  <si>
    <t>Description</t>
  </si>
  <si>
    <t>INF</t>
  </si>
  <si>
    <t>UC</t>
  </si>
  <si>
    <t>Phenotype</t>
  </si>
  <si>
    <t>Disease</t>
  </si>
  <si>
    <t>Sex</t>
  </si>
  <si>
    <t>Female</t>
  </si>
  <si>
    <t>Male</t>
  </si>
  <si>
    <t>eMayo</t>
  </si>
  <si>
    <t>totalMayo</t>
  </si>
  <si>
    <t>Tofacitinib</t>
  </si>
  <si>
    <t>JAKi</t>
  </si>
  <si>
    <t>Treatment_class</t>
  </si>
  <si>
    <t>GSM8012305</t>
  </si>
  <si>
    <t>GSM8012306</t>
  </si>
  <si>
    <t>GSM8012307</t>
  </si>
  <si>
    <t>GSM8012308</t>
  </si>
  <si>
    <t>GSM8012309</t>
  </si>
  <si>
    <t>GSM8012310</t>
  </si>
  <si>
    <t>GSM8012311</t>
  </si>
  <si>
    <t>GSM8012312</t>
  </si>
  <si>
    <t>GSM8012313</t>
  </si>
  <si>
    <t>GSM8012314</t>
  </si>
  <si>
    <t>GSM8012315</t>
  </si>
  <si>
    <t>GSM8012316</t>
  </si>
  <si>
    <t>GSM8012317</t>
  </si>
  <si>
    <t>GSM8012318</t>
  </si>
  <si>
    <t>GSM8012319</t>
  </si>
  <si>
    <t>GSM8012320</t>
  </si>
  <si>
    <t>GSM8012321</t>
  </si>
  <si>
    <t>GSM8012322</t>
  </si>
  <si>
    <t>GSM8012323</t>
  </si>
  <si>
    <t>GSM8012324</t>
  </si>
  <si>
    <t>GSM8012325</t>
  </si>
  <si>
    <t>GSM8012326</t>
  </si>
  <si>
    <t>GSM8012327</t>
  </si>
  <si>
    <t>NR</t>
  </si>
  <si>
    <t>R</t>
  </si>
  <si>
    <t>TOF-005</t>
  </si>
  <si>
    <t>TOF-009</t>
  </si>
  <si>
    <t>TOF-010</t>
  </si>
  <si>
    <t>TOF-011</t>
  </si>
  <si>
    <t>TOF-012</t>
  </si>
  <si>
    <t>TOF-013</t>
  </si>
  <si>
    <t>TOF-015</t>
  </si>
  <si>
    <t>TOF-016</t>
  </si>
  <si>
    <t>TOF-019</t>
  </si>
  <si>
    <t>TOF-022</t>
  </si>
  <si>
    <t>TOF-023</t>
  </si>
  <si>
    <t>Week</t>
  </si>
  <si>
    <t>W0</t>
  </si>
  <si>
    <t>W8</t>
  </si>
  <si>
    <t>W24</t>
  </si>
  <si>
    <t>W48</t>
  </si>
  <si>
    <t>W16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</si>
</sst>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H1" zoomScaleNormal="100" workbookViewId="0">
      <selection activeCell="N2" sqref="N2"/>
    </sheetView>
  </sheetViews>
  <sheetFormatPr defaultColWidth="8.85546875" defaultRowHeight="15" x14ac:dyDescent="0.25"/>
  <cols>
    <col min="1" max="1" width="25.140625" bestFit="1" customWidth="1"/>
    <col min="2" max="2" width="11" bestFit="1" customWidth="1"/>
    <col min="3" max="3" width="11.140625" bestFit="1" customWidth="1"/>
    <col min="4" max="4" width="11.140625" customWidth="1"/>
    <col min="5" max="5" width="9.42578125" bestFit="1" customWidth="1"/>
    <col min="6" max="6" width="9.42578125" customWidth="1"/>
    <col min="7" max="7" width="11.7109375" bestFit="1" customWidth="1"/>
    <col min="8" max="8" width="13.7109375" bestFit="1" customWidth="1"/>
    <col min="9" max="9" width="12.140625" bestFit="1" customWidth="1"/>
    <col min="10" max="10" width="13" bestFit="1" customWidth="1"/>
    <col min="11" max="11" width="11.7109375" bestFit="1" customWidth="1"/>
    <col min="12" max="12" width="11.85546875" bestFit="1" customWidth="1"/>
    <col min="13" max="13" width="11.85546875" customWidth="1"/>
    <col min="14" max="14" width="11" customWidth="1"/>
    <col min="15" max="15" width="91.42578125" bestFit="1" customWidth="1"/>
  </cols>
  <sheetData>
    <row r="1" spans="1:15" x14ac:dyDescent="0.25">
      <c r="A1" s="1" t="s">
        <v>2</v>
      </c>
      <c r="B1" s="1" t="s">
        <v>1</v>
      </c>
      <c r="C1" s="1" t="s">
        <v>3</v>
      </c>
      <c r="D1" s="1" t="s">
        <v>12</v>
      </c>
      <c r="E1" s="1" t="s">
        <v>11</v>
      </c>
      <c r="F1" s="1" t="s">
        <v>15</v>
      </c>
      <c r="G1" s="1" t="s">
        <v>16</v>
      </c>
      <c r="H1" s="1" t="s">
        <v>4</v>
      </c>
      <c r="I1" s="1" t="s">
        <v>10</v>
      </c>
      <c r="J1" s="3" t="s">
        <v>5</v>
      </c>
      <c r="K1" s="3" t="s">
        <v>56</v>
      </c>
      <c r="L1" s="3" t="s">
        <v>0</v>
      </c>
      <c r="M1" s="3" t="s">
        <v>19</v>
      </c>
      <c r="N1" s="1" t="s">
        <v>6</v>
      </c>
      <c r="O1" s="3" t="s">
        <v>7</v>
      </c>
    </row>
    <row r="2" spans="1:15" x14ac:dyDescent="0.25">
      <c r="A2" t="str">
        <f>J2&amp;"_"&amp;B2&amp;"-"&amp;UPPER(K2)</f>
        <v>GSM8012305_TOF-005-W0</v>
      </c>
      <c r="B2" t="s">
        <v>45</v>
      </c>
      <c r="D2" t="s">
        <v>14</v>
      </c>
      <c r="E2" t="s">
        <v>9</v>
      </c>
      <c r="H2" t="str">
        <f>IF(OR(I2="INF",I2="NINF"),"Intestinal biopsy","PBMC")</f>
        <v>Intestinal biopsy</v>
      </c>
      <c r="I2" s="4" t="s">
        <v>8</v>
      </c>
      <c r="J2" t="s">
        <v>20</v>
      </c>
      <c r="K2" t="s">
        <v>57</v>
      </c>
      <c r="L2" t="s">
        <v>17</v>
      </c>
      <c r="M2" t="s">
        <v>18</v>
      </c>
      <c r="N2" t="s">
        <v>43</v>
      </c>
      <c r="O2" s="2" t="str">
        <f>I2&amp;" from patient "&amp;B2&amp;" on "&amp;K2&amp;", treated with "&amp;L2&amp;", presenting as a "&amp;N2&amp;" at reponse assessment"</f>
        <v>INF from patient TOF-005 on W0, treated with Tofacitinib, presenting as a NR at reponse assessment</v>
      </c>
    </row>
    <row r="3" spans="1:15" x14ac:dyDescent="0.25">
      <c r="A3" t="str">
        <f t="shared" ref="A3:A24" si="0">J3&amp;"_"&amp;B3&amp;"-"&amp;UPPER(K3)</f>
        <v>GSM8012306_TOF-005-W8</v>
      </c>
      <c r="B3" t="s">
        <v>45</v>
      </c>
      <c r="D3" t="s">
        <v>14</v>
      </c>
      <c r="E3" t="s">
        <v>9</v>
      </c>
      <c r="H3" t="str">
        <f t="shared" ref="H3:H24" si="1">IF(OR(I3="INF",I3="NINF"),"Intestinal biopsy","PBMC")</f>
        <v>Intestinal biopsy</v>
      </c>
      <c r="I3" s="4" t="s">
        <v>8</v>
      </c>
      <c r="J3" t="s">
        <v>21</v>
      </c>
      <c r="K3" t="s">
        <v>58</v>
      </c>
      <c r="L3" t="s">
        <v>17</v>
      </c>
      <c r="M3" t="s">
        <v>18</v>
      </c>
      <c r="N3" t="s">
        <v>43</v>
      </c>
      <c r="O3" s="2" t="str">
        <f>I3&amp;" from patient "&amp;B3&amp;" on "&amp;K3&amp;", treated with "&amp;L3&amp;", presenting as a "&amp;N3&amp;" at reponse assessment"</f>
        <v>INF from patient TOF-005 on W8, treated with Tofacitinib, presenting as a NR at reponse assessment</v>
      </c>
    </row>
    <row r="4" spans="1:15" x14ac:dyDescent="0.25">
      <c r="A4" t="str">
        <f t="shared" si="0"/>
        <v>GSM8012307_TOF-005-W24</v>
      </c>
      <c r="B4" t="s">
        <v>45</v>
      </c>
      <c r="D4" t="s">
        <v>14</v>
      </c>
      <c r="E4" t="s">
        <v>9</v>
      </c>
      <c r="H4" t="str">
        <f t="shared" si="1"/>
        <v>Intestinal biopsy</v>
      </c>
      <c r="I4" s="4" t="s">
        <v>8</v>
      </c>
      <c r="J4" t="s">
        <v>22</v>
      </c>
      <c r="K4" t="s">
        <v>59</v>
      </c>
      <c r="L4" t="s">
        <v>17</v>
      </c>
      <c r="M4" t="s">
        <v>18</v>
      </c>
      <c r="N4" t="s">
        <v>43</v>
      </c>
      <c r="O4" s="2" t="str">
        <f>I4&amp;" from patient "&amp;B4&amp;" on "&amp;K4&amp;", treated with "&amp;L4&amp;", presenting as a "&amp;N4&amp;" at reponse assessment"</f>
        <v>INF from patient TOF-005 on W24, treated with Tofacitinib, presenting as a NR at reponse assessment</v>
      </c>
    </row>
    <row r="5" spans="1:15" x14ac:dyDescent="0.25">
      <c r="A5" t="str">
        <f t="shared" si="0"/>
        <v>GSM8012308_TOF-009-W0</v>
      </c>
      <c r="B5" t="s">
        <v>46</v>
      </c>
      <c r="D5" t="s">
        <v>14</v>
      </c>
      <c r="E5" t="s">
        <v>9</v>
      </c>
      <c r="H5" t="str">
        <f t="shared" si="1"/>
        <v>Intestinal biopsy</v>
      </c>
      <c r="I5" s="4" t="s">
        <v>8</v>
      </c>
      <c r="J5" t="s">
        <v>23</v>
      </c>
      <c r="K5" t="s">
        <v>57</v>
      </c>
      <c r="L5" t="s">
        <v>17</v>
      </c>
      <c r="M5" t="s">
        <v>18</v>
      </c>
      <c r="N5" t="s">
        <v>44</v>
      </c>
      <c r="O5" s="2" t="str">
        <f>I5&amp;" from patient "&amp;B5&amp;" on "&amp;K5&amp;", treated with "&amp;L5&amp;", presenting as a "&amp;N5&amp;" at reponse assessment"</f>
        <v>INF from patient TOF-009 on W0, treated with Tofacitinib, presenting as a R at reponse assessment</v>
      </c>
    </row>
    <row r="6" spans="1:15" x14ac:dyDescent="0.25">
      <c r="A6" t="str">
        <f t="shared" si="0"/>
        <v>GSM8012309_TOF-009-W48</v>
      </c>
      <c r="B6" t="s">
        <v>46</v>
      </c>
      <c r="D6" t="s">
        <v>14</v>
      </c>
      <c r="E6" t="s">
        <v>9</v>
      </c>
      <c r="H6" t="str">
        <f t="shared" si="1"/>
        <v>Intestinal biopsy</v>
      </c>
      <c r="I6" s="4" t="s">
        <v>8</v>
      </c>
      <c r="J6" t="s">
        <v>24</v>
      </c>
      <c r="K6" t="s">
        <v>60</v>
      </c>
      <c r="L6" t="s">
        <v>17</v>
      </c>
      <c r="M6" t="s">
        <v>18</v>
      </c>
      <c r="N6" t="s">
        <v>44</v>
      </c>
      <c r="O6" s="2" t="str">
        <f>I6&amp;" from patient "&amp;B6&amp;" on "&amp;K6&amp;", treated with "&amp;L6&amp;", presenting as a "&amp;N6&amp;" at reponse assessment"</f>
        <v>INF from patient TOF-009 on W48, treated with Tofacitinib, presenting as a R at reponse assessment</v>
      </c>
    </row>
    <row r="7" spans="1:15" x14ac:dyDescent="0.25">
      <c r="A7" t="str">
        <f t="shared" si="0"/>
        <v>GSM8012310_TOF-010-W0</v>
      </c>
      <c r="B7" t="s">
        <v>47</v>
      </c>
      <c r="D7" t="s">
        <v>13</v>
      </c>
      <c r="E7" t="s">
        <v>9</v>
      </c>
      <c r="H7" t="str">
        <f t="shared" si="1"/>
        <v>Intestinal biopsy</v>
      </c>
      <c r="I7" s="4" t="s">
        <v>8</v>
      </c>
      <c r="J7" t="s">
        <v>25</v>
      </c>
      <c r="K7" t="s">
        <v>57</v>
      </c>
      <c r="L7" t="s">
        <v>17</v>
      </c>
      <c r="M7" t="s">
        <v>18</v>
      </c>
      <c r="N7" t="s">
        <v>43</v>
      </c>
      <c r="O7" s="2" t="str">
        <f>I7&amp;" from patient "&amp;B7&amp;" on "&amp;K7&amp;", treated with "&amp;L7&amp;", presenting as a "&amp;N7&amp;" at reponse assessment"</f>
        <v>INF from patient TOF-010 on W0, treated with Tofacitinib, presenting as a NR at reponse assessment</v>
      </c>
    </row>
    <row r="8" spans="1:15" x14ac:dyDescent="0.25">
      <c r="A8" t="str">
        <f t="shared" si="0"/>
        <v>GSM8012311_TOF-011-W0</v>
      </c>
      <c r="B8" t="s">
        <v>48</v>
      </c>
      <c r="D8" t="s">
        <v>14</v>
      </c>
      <c r="E8" t="s">
        <v>9</v>
      </c>
      <c r="H8" t="str">
        <f t="shared" si="1"/>
        <v>Intestinal biopsy</v>
      </c>
      <c r="I8" s="4" t="s">
        <v>8</v>
      </c>
      <c r="J8" t="s">
        <v>26</v>
      </c>
      <c r="K8" t="s">
        <v>57</v>
      </c>
      <c r="L8" t="s">
        <v>17</v>
      </c>
      <c r="M8" t="s">
        <v>18</v>
      </c>
      <c r="N8" t="s">
        <v>44</v>
      </c>
      <c r="O8" s="2" t="str">
        <f>I8&amp;" from patient "&amp;B8&amp;" on "&amp;K8&amp;", treated with "&amp;L8&amp;", presenting as a "&amp;N8&amp;" at reponse assessment"</f>
        <v>INF from patient TOF-011 on W0, treated with Tofacitinib, presenting as a R at reponse assessment</v>
      </c>
    </row>
    <row r="9" spans="1:15" x14ac:dyDescent="0.25">
      <c r="A9" t="str">
        <f t="shared" si="0"/>
        <v>GSM8012312_TOF-011-W8</v>
      </c>
      <c r="B9" t="s">
        <v>48</v>
      </c>
      <c r="D9" t="s">
        <v>14</v>
      </c>
      <c r="E9" t="s">
        <v>9</v>
      </c>
      <c r="H9" t="str">
        <f t="shared" si="1"/>
        <v>Intestinal biopsy</v>
      </c>
      <c r="I9" s="4" t="s">
        <v>8</v>
      </c>
      <c r="J9" t="s">
        <v>27</v>
      </c>
      <c r="K9" t="s">
        <v>58</v>
      </c>
      <c r="L9" t="s">
        <v>17</v>
      </c>
      <c r="M9" t="s">
        <v>18</v>
      </c>
      <c r="N9" t="s">
        <v>44</v>
      </c>
      <c r="O9" s="2" t="str">
        <f>I9&amp;" from patient "&amp;B9&amp;" on "&amp;K9&amp;", treated with "&amp;L9&amp;", presenting as a "&amp;N9&amp;" at reponse assessment"</f>
        <v>INF from patient TOF-011 on W8, treated with Tofacitinib, presenting as a R at reponse assessment</v>
      </c>
    </row>
    <row r="10" spans="1:15" x14ac:dyDescent="0.25">
      <c r="A10" t="str">
        <f t="shared" si="0"/>
        <v>GSM8012313_TOF-012-W0</v>
      </c>
      <c r="B10" t="s">
        <v>49</v>
      </c>
      <c r="D10" t="s">
        <v>14</v>
      </c>
      <c r="E10" t="s">
        <v>9</v>
      </c>
      <c r="H10" t="str">
        <f t="shared" si="1"/>
        <v>Intestinal biopsy</v>
      </c>
      <c r="I10" s="4" t="s">
        <v>8</v>
      </c>
      <c r="J10" t="s">
        <v>28</v>
      </c>
      <c r="K10" t="s">
        <v>57</v>
      </c>
      <c r="L10" t="s">
        <v>17</v>
      </c>
      <c r="M10" t="s">
        <v>18</v>
      </c>
      <c r="N10" t="s">
        <v>44</v>
      </c>
      <c r="O10" s="2" t="str">
        <f>I10&amp;" from patient "&amp;B10&amp;" on "&amp;K10&amp;", treated with "&amp;L10&amp;", presenting as a "&amp;N10&amp;" at reponse assessment"</f>
        <v>INF from patient TOF-012 on W0, treated with Tofacitinib, presenting as a R at reponse assessment</v>
      </c>
    </row>
    <row r="11" spans="1:15" x14ac:dyDescent="0.25">
      <c r="A11" t="str">
        <f t="shared" si="0"/>
        <v>GSM8012314_TOF-012-W8</v>
      </c>
      <c r="B11" t="s">
        <v>49</v>
      </c>
      <c r="D11" t="s">
        <v>14</v>
      </c>
      <c r="E11" t="s">
        <v>9</v>
      </c>
      <c r="H11" t="str">
        <f t="shared" si="1"/>
        <v>Intestinal biopsy</v>
      </c>
      <c r="I11" s="4" t="s">
        <v>8</v>
      </c>
      <c r="J11" t="s">
        <v>29</v>
      </c>
      <c r="K11" t="s">
        <v>58</v>
      </c>
      <c r="L11" t="s">
        <v>17</v>
      </c>
      <c r="M11" t="s">
        <v>18</v>
      </c>
      <c r="N11" t="s">
        <v>44</v>
      </c>
      <c r="O11" s="2" t="str">
        <f>I11&amp;" from patient "&amp;B11&amp;" on "&amp;K11&amp;", treated with "&amp;L11&amp;", presenting as a "&amp;N11&amp;" at reponse assessment"</f>
        <v>INF from patient TOF-012 on W8, treated with Tofacitinib, presenting as a R at reponse assessment</v>
      </c>
    </row>
    <row r="12" spans="1:15" x14ac:dyDescent="0.25">
      <c r="A12" t="str">
        <f t="shared" si="0"/>
        <v>GSM8012315_TOF-012-W16</v>
      </c>
      <c r="B12" t="s">
        <v>49</v>
      </c>
      <c r="D12" t="s">
        <v>14</v>
      </c>
      <c r="E12" t="s">
        <v>9</v>
      </c>
      <c r="H12" t="str">
        <f t="shared" si="1"/>
        <v>Intestinal biopsy</v>
      </c>
      <c r="I12" s="4" t="s">
        <v>8</v>
      </c>
      <c r="J12" t="s">
        <v>30</v>
      </c>
      <c r="K12" t="s">
        <v>61</v>
      </c>
      <c r="L12" t="s">
        <v>17</v>
      </c>
      <c r="M12" t="s">
        <v>18</v>
      </c>
      <c r="N12" t="s">
        <v>44</v>
      </c>
      <c r="O12" s="2" t="str">
        <f>I12&amp;" from patient "&amp;B12&amp;" on "&amp;K12&amp;", treated with "&amp;L12&amp;", presenting as a "&amp;N12&amp;" at reponse assessment"</f>
        <v>INF from patient TOF-012 on W16, treated with Tofacitinib, presenting as a R at reponse assessment</v>
      </c>
    </row>
    <row r="13" spans="1:15" x14ac:dyDescent="0.25">
      <c r="A13" t="str">
        <f t="shared" si="0"/>
        <v>GSM8012316_TOF-013-W0</v>
      </c>
      <c r="B13" t="s">
        <v>50</v>
      </c>
      <c r="D13" t="s">
        <v>14</v>
      </c>
      <c r="E13" t="s">
        <v>9</v>
      </c>
      <c r="H13" t="str">
        <f t="shared" si="1"/>
        <v>Intestinal biopsy</v>
      </c>
      <c r="I13" s="4" t="s">
        <v>8</v>
      </c>
      <c r="J13" t="s">
        <v>31</v>
      </c>
      <c r="K13" t="s">
        <v>57</v>
      </c>
      <c r="L13" t="s">
        <v>17</v>
      </c>
      <c r="M13" t="s">
        <v>18</v>
      </c>
      <c r="N13" t="s">
        <v>43</v>
      </c>
      <c r="O13" s="2" t="str">
        <f>I13&amp;" from patient "&amp;B13&amp;" on "&amp;K13&amp;", treated with "&amp;L13&amp;", presenting as a "&amp;N13&amp;" at reponse assessment"</f>
        <v>INF from patient TOF-013 on W0, treated with Tofacitinib, presenting as a NR at reponse assessment</v>
      </c>
    </row>
    <row r="14" spans="1:15" x14ac:dyDescent="0.25">
      <c r="A14" t="str">
        <f t="shared" si="0"/>
        <v>GSM8012317_TOF-013-W8</v>
      </c>
      <c r="B14" t="s">
        <v>50</v>
      </c>
      <c r="D14" t="s">
        <v>14</v>
      </c>
      <c r="E14" t="s">
        <v>9</v>
      </c>
      <c r="H14" t="str">
        <f t="shared" si="1"/>
        <v>Intestinal biopsy</v>
      </c>
      <c r="I14" s="4" t="s">
        <v>8</v>
      </c>
      <c r="J14" t="s">
        <v>32</v>
      </c>
      <c r="K14" t="s">
        <v>58</v>
      </c>
      <c r="L14" t="s">
        <v>17</v>
      </c>
      <c r="M14" t="s">
        <v>18</v>
      </c>
      <c r="N14" t="s">
        <v>43</v>
      </c>
      <c r="O14" s="2" t="str">
        <f>I14&amp;" from patient "&amp;B14&amp;" on "&amp;K14&amp;", treated with "&amp;L14&amp;", presenting as a "&amp;N14&amp;" at reponse assessment"</f>
        <v>INF from patient TOF-013 on W8, treated with Tofacitinib, presenting as a NR at reponse assessment</v>
      </c>
    </row>
    <row r="15" spans="1:15" x14ac:dyDescent="0.25">
      <c r="A15" t="str">
        <f t="shared" si="0"/>
        <v>GSM8012318_TOF-015-W0</v>
      </c>
      <c r="B15" t="s">
        <v>51</v>
      </c>
      <c r="D15" t="s">
        <v>13</v>
      </c>
      <c r="E15" t="s">
        <v>9</v>
      </c>
      <c r="H15" t="str">
        <f t="shared" si="1"/>
        <v>Intestinal biopsy</v>
      </c>
      <c r="I15" s="4" t="s">
        <v>8</v>
      </c>
      <c r="J15" t="s">
        <v>33</v>
      </c>
      <c r="K15" t="s">
        <v>57</v>
      </c>
      <c r="L15" t="s">
        <v>17</v>
      </c>
      <c r="M15" t="s">
        <v>18</v>
      </c>
      <c r="N15" t="s">
        <v>44</v>
      </c>
      <c r="O15" s="2" t="str">
        <f>I15&amp;" from patient "&amp;B15&amp;" on "&amp;K15&amp;", treated with "&amp;L15&amp;", presenting as a "&amp;N15&amp;" at reponse assessment"</f>
        <v>INF from patient TOF-015 on W0, treated with Tofacitinib, presenting as a R at reponse assessment</v>
      </c>
    </row>
    <row r="16" spans="1:15" x14ac:dyDescent="0.25">
      <c r="A16" t="str">
        <f t="shared" si="0"/>
        <v>GSM8012319_TOF-015-W8</v>
      </c>
      <c r="B16" t="s">
        <v>51</v>
      </c>
      <c r="D16" t="s">
        <v>13</v>
      </c>
      <c r="E16" t="s">
        <v>9</v>
      </c>
      <c r="H16" t="str">
        <f t="shared" si="1"/>
        <v>Intestinal biopsy</v>
      </c>
      <c r="I16" s="4" t="s">
        <v>8</v>
      </c>
      <c r="J16" t="s">
        <v>34</v>
      </c>
      <c r="K16" t="s">
        <v>58</v>
      </c>
      <c r="L16" t="s">
        <v>17</v>
      </c>
      <c r="M16" t="s">
        <v>18</v>
      </c>
      <c r="N16" t="s">
        <v>44</v>
      </c>
      <c r="O16" s="2" t="str">
        <f>I16&amp;" from patient "&amp;B16&amp;" on "&amp;K16&amp;", treated with "&amp;L16&amp;", presenting as a "&amp;N16&amp;" at reponse assessment"</f>
        <v>INF from patient TOF-015 on W8, treated with Tofacitinib, presenting as a R at reponse assessment</v>
      </c>
    </row>
    <row r="17" spans="1:15" x14ac:dyDescent="0.25">
      <c r="A17" t="str">
        <f t="shared" si="0"/>
        <v>GSM8012320_TOF-016-W0</v>
      </c>
      <c r="B17" t="s">
        <v>52</v>
      </c>
      <c r="D17" t="s">
        <v>13</v>
      </c>
      <c r="E17" t="s">
        <v>9</v>
      </c>
      <c r="H17" t="str">
        <f t="shared" si="1"/>
        <v>Intestinal biopsy</v>
      </c>
      <c r="I17" s="4" t="s">
        <v>8</v>
      </c>
      <c r="J17" t="s">
        <v>35</v>
      </c>
      <c r="K17" t="s">
        <v>57</v>
      </c>
      <c r="L17" t="s">
        <v>17</v>
      </c>
      <c r="M17" t="s">
        <v>18</v>
      </c>
      <c r="N17" t="s">
        <v>43</v>
      </c>
      <c r="O17" s="2" t="str">
        <f>I17&amp;" from patient "&amp;B17&amp;" on "&amp;K17&amp;", treated with "&amp;L17&amp;", presenting as a "&amp;N17&amp;" at reponse assessment"</f>
        <v>INF from patient TOF-016 on W0, treated with Tofacitinib, presenting as a NR at reponse assessment</v>
      </c>
    </row>
    <row r="18" spans="1:15" x14ac:dyDescent="0.25">
      <c r="A18" t="str">
        <f t="shared" si="0"/>
        <v>GSM8012321_TOF-016-W8</v>
      </c>
      <c r="B18" t="s">
        <v>52</v>
      </c>
      <c r="D18" t="s">
        <v>13</v>
      </c>
      <c r="E18" t="s">
        <v>9</v>
      </c>
      <c r="H18" t="str">
        <f t="shared" si="1"/>
        <v>Intestinal biopsy</v>
      </c>
      <c r="I18" s="4" t="s">
        <v>8</v>
      </c>
      <c r="J18" t="s">
        <v>36</v>
      </c>
      <c r="K18" t="s">
        <v>58</v>
      </c>
      <c r="L18" t="s">
        <v>17</v>
      </c>
      <c r="M18" t="s">
        <v>18</v>
      </c>
      <c r="N18" t="s">
        <v>43</v>
      </c>
      <c r="O18" s="2" t="str">
        <f>I18&amp;" from patient "&amp;B18&amp;" on "&amp;K18&amp;", treated with "&amp;L18&amp;", presenting as a "&amp;N18&amp;" at reponse assessment"</f>
        <v>INF from patient TOF-016 on W8, treated with Tofacitinib, presenting as a NR at reponse assessment</v>
      </c>
    </row>
    <row r="19" spans="1:15" x14ac:dyDescent="0.25">
      <c r="A19" t="str">
        <f t="shared" si="0"/>
        <v>GSM8012322_TOF-019-W0</v>
      </c>
      <c r="B19" t="s">
        <v>53</v>
      </c>
      <c r="D19" t="s">
        <v>14</v>
      </c>
      <c r="E19" t="s">
        <v>9</v>
      </c>
      <c r="H19" t="str">
        <f t="shared" si="1"/>
        <v>Intestinal biopsy</v>
      </c>
      <c r="I19" s="4" t="s">
        <v>8</v>
      </c>
      <c r="J19" t="s">
        <v>37</v>
      </c>
      <c r="K19" t="s">
        <v>57</v>
      </c>
      <c r="L19" t="s">
        <v>17</v>
      </c>
      <c r="M19" t="s">
        <v>18</v>
      </c>
      <c r="N19" t="s">
        <v>43</v>
      </c>
      <c r="O19" s="2" t="str">
        <f>I19&amp;" from patient "&amp;B19&amp;" on "&amp;K19&amp;", treated with "&amp;L19&amp;", presenting as a "&amp;N19&amp;" at reponse assessment"</f>
        <v>INF from patient TOF-019 on W0, treated with Tofacitinib, presenting as a NR at reponse assessment</v>
      </c>
    </row>
    <row r="20" spans="1:15" x14ac:dyDescent="0.25">
      <c r="A20" t="str">
        <f t="shared" si="0"/>
        <v>GSM8012323_TOF-019-W8</v>
      </c>
      <c r="B20" t="s">
        <v>53</v>
      </c>
      <c r="D20" t="s">
        <v>14</v>
      </c>
      <c r="E20" t="s">
        <v>9</v>
      </c>
      <c r="H20" t="str">
        <f t="shared" si="1"/>
        <v>Intestinal biopsy</v>
      </c>
      <c r="I20" s="4" t="s">
        <v>8</v>
      </c>
      <c r="J20" t="s">
        <v>38</v>
      </c>
      <c r="K20" t="s">
        <v>58</v>
      </c>
      <c r="L20" t="s">
        <v>17</v>
      </c>
      <c r="M20" t="s">
        <v>18</v>
      </c>
      <c r="N20" t="s">
        <v>43</v>
      </c>
      <c r="O20" s="2" t="str">
        <f>I20&amp;" from patient "&amp;B20&amp;" on "&amp;K20&amp;", treated with "&amp;L20&amp;", presenting as a "&amp;N20&amp;" at reponse assessment"</f>
        <v>INF from patient TOF-019 on W8, treated with Tofacitinib, presenting as a NR at reponse assessment</v>
      </c>
    </row>
    <row r="21" spans="1:15" x14ac:dyDescent="0.25">
      <c r="A21" t="str">
        <f t="shared" si="0"/>
        <v>GSM8012324_TOF-019-W16</v>
      </c>
      <c r="B21" t="s">
        <v>53</v>
      </c>
      <c r="D21" t="s">
        <v>14</v>
      </c>
      <c r="E21" t="s">
        <v>9</v>
      </c>
      <c r="H21" t="str">
        <f t="shared" si="1"/>
        <v>Intestinal biopsy</v>
      </c>
      <c r="I21" s="4" t="s">
        <v>8</v>
      </c>
      <c r="J21" t="s">
        <v>39</v>
      </c>
      <c r="K21" t="s">
        <v>61</v>
      </c>
      <c r="L21" t="s">
        <v>17</v>
      </c>
      <c r="M21" t="s">
        <v>18</v>
      </c>
      <c r="N21" t="s">
        <v>43</v>
      </c>
      <c r="O21" s="2" t="str">
        <f>I21&amp;" from patient "&amp;B21&amp;" on "&amp;K21&amp;", treated with "&amp;L21&amp;", presenting as a "&amp;N21&amp;" at reponse assessment"</f>
        <v>INF from patient TOF-019 on W16, treated with Tofacitinib, presenting as a NR at reponse assessment</v>
      </c>
    </row>
    <row r="22" spans="1:15" x14ac:dyDescent="0.25">
      <c r="A22" t="str">
        <f t="shared" si="0"/>
        <v>GSM8012325_TOF-022-W0</v>
      </c>
      <c r="B22" t="s">
        <v>54</v>
      </c>
      <c r="D22" t="s">
        <v>14</v>
      </c>
      <c r="E22" t="s">
        <v>9</v>
      </c>
      <c r="H22" t="str">
        <f t="shared" si="1"/>
        <v>Intestinal biopsy</v>
      </c>
      <c r="I22" s="4" t="s">
        <v>8</v>
      </c>
      <c r="J22" t="s">
        <v>40</v>
      </c>
      <c r="K22" t="s">
        <v>57</v>
      </c>
      <c r="L22" t="s">
        <v>17</v>
      </c>
      <c r="M22" t="s">
        <v>18</v>
      </c>
      <c r="N22" t="s">
        <v>43</v>
      </c>
      <c r="O22" s="2" t="str">
        <f>I22&amp;" from patient "&amp;B22&amp;" on "&amp;K22&amp;", treated with "&amp;L22&amp;", presenting as a "&amp;N22&amp;" at reponse assessment"</f>
        <v>INF from patient TOF-022 on W0, treated with Tofacitinib, presenting as a NR at reponse assessment</v>
      </c>
    </row>
    <row r="23" spans="1:15" x14ac:dyDescent="0.25">
      <c r="A23" t="str">
        <f t="shared" si="0"/>
        <v>GSM8012326_TOF-023-W0</v>
      </c>
      <c r="B23" t="s">
        <v>55</v>
      </c>
      <c r="D23" t="s">
        <v>13</v>
      </c>
      <c r="E23" t="s">
        <v>9</v>
      </c>
      <c r="H23" t="str">
        <f t="shared" si="1"/>
        <v>Intestinal biopsy</v>
      </c>
      <c r="I23" s="4" t="s">
        <v>8</v>
      </c>
      <c r="J23" t="s">
        <v>41</v>
      </c>
      <c r="K23" t="s">
        <v>57</v>
      </c>
      <c r="L23" t="s">
        <v>17</v>
      </c>
      <c r="M23" t="s">
        <v>18</v>
      </c>
      <c r="N23" t="s">
        <v>44</v>
      </c>
      <c r="O23" s="2" t="str">
        <f>I23&amp;" from patient "&amp;B23&amp;" on "&amp;K23&amp;", treated with "&amp;L23&amp;", presenting as a "&amp;N23&amp;" at reponse assessment"</f>
        <v>INF from patient TOF-023 on W0, treated with Tofacitinib, presenting as a R at reponse assessment</v>
      </c>
    </row>
    <row r="24" spans="1:15" x14ac:dyDescent="0.25">
      <c r="A24" t="str">
        <f t="shared" si="0"/>
        <v>GSM8012327_TOF-023-W8</v>
      </c>
      <c r="B24" t="s">
        <v>55</v>
      </c>
      <c r="D24" t="s">
        <v>13</v>
      </c>
      <c r="E24" t="s">
        <v>9</v>
      </c>
      <c r="H24" t="str">
        <f t="shared" si="1"/>
        <v>Intestinal biopsy</v>
      </c>
      <c r="I24" s="4" t="s">
        <v>8</v>
      </c>
      <c r="J24" t="s">
        <v>42</v>
      </c>
      <c r="K24" t="s">
        <v>58</v>
      </c>
      <c r="L24" t="s">
        <v>17</v>
      </c>
      <c r="M24" t="s">
        <v>18</v>
      </c>
      <c r="N24" t="s">
        <v>44</v>
      </c>
      <c r="O24" s="2" t="str">
        <f>I24&amp;" from patient "&amp;B24&amp;" on "&amp;K24&amp;", treated with "&amp;L24&amp;", presenting as a "&amp;N24&amp;" at reponse assessment"</f>
        <v>INF from patient TOF-023 on W8, treated with Tofacitinib, presenting as a R at reponse assessment</v>
      </c>
    </row>
    <row r="25" spans="1:15" x14ac:dyDescent="0.25">
      <c r="A25" s="2"/>
      <c r="B25" s="2"/>
      <c r="I25" s="4"/>
      <c r="J25" s="2"/>
      <c r="K25" s="2"/>
      <c r="O25" s="2"/>
    </row>
    <row r="26" spans="1:15" x14ac:dyDescent="0.25">
      <c r="A26" s="2"/>
      <c r="B26" s="2"/>
      <c r="I26" s="4"/>
      <c r="J26" s="2"/>
      <c r="K26" s="2"/>
      <c r="O26" s="2"/>
    </row>
    <row r="27" spans="1:15" x14ac:dyDescent="0.25">
      <c r="A27" s="2"/>
      <c r="B27" s="2"/>
      <c r="I27" s="4"/>
      <c r="K27" s="2"/>
      <c r="O27" s="2"/>
    </row>
    <row r="28" spans="1:15" x14ac:dyDescent="0.25">
      <c r="A28" s="2"/>
      <c r="B28" s="2"/>
      <c r="I28" s="4"/>
      <c r="K28" s="2"/>
      <c r="O28" s="2"/>
    </row>
    <row r="29" spans="1:15" x14ac:dyDescent="0.25">
      <c r="A29" s="2"/>
      <c r="B29" s="2"/>
      <c r="I29" s="4"/>
      <c r="K29" s="2"/>
      <c r="O29" s="2"/>
    </row>
    <row r="30" spans="1:15" x14ac:dyDescent="0.25">
      <c r="A30" s="2"/>
      <c r="B30" s="2"/>
      <c r="I30" s="4"/>
      <c r="J30" s="2"/>
      <c r="K30" s="2"/>
      <c r="O30" s="2"/>
    </row>
    <row r="31" spans="1:15" x14ac:dyDescent="0.25">
      <c r="A31" s="2"/>
      <c r="B31" s="2"/>
      <c r="I31" s="4"/>
      <c r="J31" s="2"/>
      <c r="K31" s="2"/>
      <c r="O31" s="2"/>
    </row>
    <row r="32" spans="1:15" x14ac:dyDescent="0.25">
      <c r="A32" s="2"/>
      <c r="B32" s="2"/>
      <c r="I32" s="4"/>
      <c r="K32" s="2"/>
      <c r="O32" s="2"/>
    </row>
    <row r="33" spans="1:15" x14ac:dyDescent="0.25">
      <c r="A33" s="2"/>
      <c r="B33" s="2"/>
      <c r="I33" s="4"/>
      <c r="J33" s="2"/>
      <c r="K33" s="2"/>
      <c r="O33" s="2"/>
    </row>
    <row r="34" spans="1:15" x14ac:dyDescent="0.25">
      <c r="A34" s="2"/>
      <c r="B34" s="2"/>
      <c r="I34" s="4"/>
      <c r="K34" s="2"/>
      <c r="O34" s="2"/>
    </row>
    <row r="35" spans="1:15" x14ac:dyDescent="0.25">
      <c r="A35" s="2"/>
      <c r="B35" s="2"/>
      <c r="I35" s="4"/>
      <c r="K35" s="2"/>
      <c r="O35" s="2"/>
    </row>
    <row r="36" spans="1:15" x14ac:dyDescent="0.25">
      <c r="A36" s="2"/>
      <c r="B36" s="2"/>
      <c r="I36" s="4"/>
      <c r="K36" s="2"/>
      <c r="O36" s="2"/>
    </row>
    <row r="37" spans="1:15" x14ac:dyDescent="0.25">
      <c r="A37" s="2"/>
      <c r="B37" s="2"/>
      <c r="I37" s="4"/>
      <c r="J37" s="2"/>
      <c r="K37" s="2"/>
      <c r="O37" s="2"/>
    </row>
    <row r="38" spans="1:15" x14ac:dyDescent="0.25">
      <c r="A38" s="2"/>
      <c r="B38" s="2"/>
      <c r="I38" s="4"/>
      <c r="J38" s="2"/>
      <c r="K38" s="2"/>
      <c r="O38" s="2"/>
    </row>
    <row r="39" spans="1:15" x14ac:dyDescent="0.25">
      <c r="A39" s="2"/>
      <c r="B39" s="2"/>
      <c r="I39" s="4"/>
      <c r="K39" s="2"/>
      <c r="O39" s="2"/>
    </row>
    <row r="40" spans="1:15" x14ac:dyDescent="0.25">
      <c r="A40" s="2"/>
      <c r="B40" s="2"/>
      <c r="I40" s="4"/>
      <c r="J40" s="2"/>
      <c r="K40" s="2"/>
      <c r="O40" s="2"/>
    </row>
    <row r="41" spans="1:15" x14ac:dyDescent="0.25">
      <c r="A41" s="2"/>
      <c r="B41" s="2"/>
      <c r="I41" s="4"/>
      <c r="J41" s="2"/>
      <c r="K41" s="2"/>
      <c r="O41" s="2"/>
    </row>
    <row r="42" spans="1:15" x14ac:dyDescent="0.25">
      <c r="A42" s="2"/>
      <c r="B42" s="2"/>
      <c r="I42" s="4"/>
      <c r="J42" s="2"/>
      <c r="K42" s="2"/>
      <c r="O42" s="2"/>
    </row>
    <row r="43" spans="1:15" x14ac:dyDescent="0.25">
      <c r="A43" s="2"/>
      <c r="B43" s="2"/>
      <c r="I43" s="4"/>
      <c r="J43" s="2"/>
      <c r="K43" s="2"/>
      <c r="O43" s="2"/>
    </row>
    <row r="44" spans="1:15" x14ac:dyDescent="0.25">
      <c r="A44" s="2"/>
      <c r="B44" s="2"/>
      <c r="I44" s="4"/>
      <c r="J44" s="2"/>
      <c r="K44" s="2"/>
      <c r="O44" s="2"/>
    </row>
    <row r="45" spans="1:15" x14ac:dyDescent="0.25">
      <c r="A45" s="2"/>
      <c r="B45" s="2"/>
      <c r="I45" s="4"/>
      <c r="K45" s="2"/>
      <c r="O45" s="2"/>
    </row>
    <row r="46" spans="1:15" x14ac:dyDescent="0.25">
      <c r="A46" s="2"/>
      <c r="B46" s="2"/>
      <c r="I46" s="4"/>
      <c r="J46" s="2"/>
      <c r="K46" s="2"/>
      <c r="O46" s="2"/>
    </row>
    <row r="47" spans="1:15" x14ac:dyDescent="0.25">
      <c r="A47" s="2"/>
      <c r="B47" s="2"/>
      <c r="I47" s="4"/>
      <c r="K47" s="2"/>
      <c r="O47" s="2"/>
    </row>
    <row r="48" spans="1:15" x14ac:dyDescent="0.25">
      <c r="A48" s="2"/>
      <c r="B48" s="2"/>
      <c r="I48" s="4"/>
      <c r="J48" s="2"/>
      <c r="K48" s="2"/>
      <c r="O48" s="2"/>
    </row>
    <row r="49" spans="1:15" x14ac:dyDescent="0.25">
      <c r="A49" s="2"/>
      <c r="B49" s="2"/>
      <c r="I49" s="4"/>
      <c r="J49" s="2"/>
      <c r="K49" s="2"/>
      <c r="O49" s="2"/>
    </row>
    <row r="50" spans="1:15" x14ac:dyDescent="0.25">
      <c r="A50" s="2"/>
      <c r="B50" s="2"/>
      <c r="I50" s="4"/>
      <c r="J50" s="2"/>
      <c r="K50" s="2"/>
      <c r="O50" s="2"/>
    </row>
    <row r="51" spans="1:15" x14ac:dyDescent="0.25">
      <c r="A51" s="2"/>
      <c r="B51" s="2"/>
      <c r="I51" s="4"/>
      <c r="K51" s="2"/>
      <c r="O51" s="2"/>
    </row>
    <row r="52" spans="1:15" x14ac:dyDescent="0.25">
      <c r="A52" s="2"/>
      <c r="B52" s="2"/>
      <c r="I52" s="4"/>
      <c r="J52" s="2"/>
      <c r="K52" s="2"/>
      <c r="O52" s="2"/>
    </row>
    <row r="53" spans="1:15" x14ac:dyDescent="0.25">
      <c r="A53" s="2"/>
      <c r="B53" s="2"/>
      <c r="I53" s="4"/>
      <c r="K53" s="2"/>
      <c r="O53" s="2"/>
    </row>
    <row r="54" spans="1:15" x14ac:dyDescent="0.25">
      <c r="A54" s="2"/>
      <c r="B54" s="2"/>
      <c r="I54" s="4"/>
      <c r="J54" s="2"/>
      <c r="K54" s="2"/>
      <c r="O54" s="2"/>
    </row>
    <row r="55" spans="1:15" x14ac:dyDescent="0.25">
      <c r="A55" s="2"/>
      <c r="B55" s="2"/>
      <c r="I55" s="4"/>
      <c r="J55" s="2"/>
      <c r="K55" s="2"/>
      <c r="O55" s="2"/>
    </row>
    <row r="56" spans="1:15" x14ac:dyDescent="0.25">
      <c r="A56" s="2"/>
      <c r="B56" s="2"/>
      <c r="I56" s="4"/>
      <c r="J56" s="2"/>
      <c r="K56" s="2"/>
      <c r="O56" s="2"/>
    </row>
    <row r="57" spans="1:15" x14ac:dyDescent="0.25">
      <c r="A57" s="2"/>
      <c r="B57" s="2"/>
      <c r="I57" s="4"/>
      <c r="K57" s="2"/>
      <c r="O57" s="2"/>
    </row>
    <row r="58" spans="1:15" x14ac:dyDescent="0.25">
      <c r="A58" s="2"/>
      <c r="B58" s="2"/>
      <c r="F58" s="5"/>
      <c r="G58" s="5"/>
      <c r="I58" s="4"/>
      <c r="J58" s="2"/>
      <c r="K58" s="2"/>
      <c r="O58" s="2"/>
    </row>
    <row r="59" spans="1:15" x14ac:dyDescent="0.25">
      <c r="A59" s="2"/>
      <c r="B59" s="2"/>
      <c r="F59" s="5"/>
      <c r="G59" s="5"/>
      <c r="I59" s="4"/>
      <c r="K59" s="2"/>
      <c r="O59" s="2"/>
    </row>
    <row r="60" spans="1:15" x14ac:dyDescent="0.25">
      <c r="A60" s="2"/>
      <c r="B60" s="2"/>
      <c r="F60" s="5"/>
      <c r="G60" s="5"/>
      <c r="I60" s="4"/>
      <c r="J60" s="2"/>
      <c r="K60" s="2"/>
      <c r="O60" s="2"/>
    </row>
    <row r="61" spans="1:15" x14ac:dyDescent="0.25">
      <c r="A61" s="2"/>
      <c r="B61" s="2"/>
      <c r="F61" s="5"/>
      <c r="G61" s="5"/>
      <c r="I61" s="4"/>
      <c r="K61" s="2"/>
      <c r="O61" s="2"/>
    </row>
    <row r="62" spans="1:15" x14ac:dyDescent="0.25">
      <c r="A62" s="2"/>
      <c r="B62" s="2"/>
      <c r="F62" s="5"/>
      <c r="G62" s="5"/>
      <c r="I62" s="4"/>
      <c r="K62" s="2"/>
      <c r="O62" s="2"/>
    </row>
    <row r="63" spans="1:15" x14ac:dyDescent="0.25">
      <c r="A63" s="2"/>
      <c r="B63" s="2"/>
      <c r="F63" s="5"/>
      <c r="G63" s="5"/>
      <c r="I63" s="4"/>
      <c r="J63" s="2"/>
      <c r="K63" s="2"/>
      <c r="O63" s="2"/>
    </row>
    <row r="64" spans="1:15" x14ac:dyDescent="0.25">
      <c r="A64" s="2"/>
      <c r="K64" s="2"/>
      <c r="O64" s="2"/>
    </row>
    <row r="65" spans="1:15" x14ac:dyDescent="0.25">
      <c r="A65" s="2"/>
      <c r="K65" s="2"/>
      <c r="O65" s="2"/>
    </row>
  </sheetData>
  <autoFilter ref="A1:O24" xr:uid="{00000000-0001-0000-0000-000000000000}">
    <sortState xmlns:xlrd2="http://schemas.microsoft.com/office/spreadsheetml/2017/richdata2" ref="A2:O63">
      <sortCondition ref="A1:A6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I.A.M. van Thiel</dc:creator>
  <cp:lastModifiedBy>Li Yim, A.Y.F. (Andrew)</cp:lastModifiedBy>
  <dcterms:created xsi:type="dcterms:W3CDTF">2023-03-13T14:33:28Z</dcterms:created>
  <dcterms:modified xsi:type="dcterms:W3CDTF">2026-08-19T09:26:37Z</dcterms:modified>
</cp:coreProperties>
</file>